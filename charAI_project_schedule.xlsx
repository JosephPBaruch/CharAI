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 autoCompressPictures="0"/>
  <xr:revisionPtr revIDLastSave="0" documentId="8_{69A1C89A-9B70-464A-BC26-AB0F5245FA23}" xr6:coauthVersionLast="47" xr6:coauthVersionMax="47" xr10:uidLastSave="{00000000-0000-0000-0000-000000000000}"/>
  <bookViews>
    <workbookView xWindow="-105" yWindow="0" windowWidth="19410" windowHeight="15585" xr2:uid="{00000000-000D-0000-FFFF-FFFF00000000}"/>
  </bookViews>
  <sheets>
    <sheet name="Project Planner" sheetId="1" r:id="rId1"/>
  </sheets>
  <definedNames>
    <definedName name="Actual">(PeriodInActual*('Project Planner'!$G1&gt;0))*PeriodInPlan</definedName>
    <definedName name="ActualBeyond">PeriodInActual*('Project Planner'!$G1&gt;0)</definedName>
    <definedName name="PercentComplete">PercentCompleteBeyond*PeriodInPlan</definedName>
    <definedName name="PercentCompleteBeyond">('Project Planner'!A$7=MEDIAN('Project Planner'!A$7,'Project Planner'!$G1,'Project Planner'!$G1+'Project Planner'!$H1)*('Project Planner'!$G1&gt;0))*(('Project Planner'!A$7&lt;(INT('Project Planner'!$G1+'Project Planner'!$H1*'Project Planner'!$I1)))+('Project Planner'!A$7='Project Planner'!$G1))*('Project Planner'!$I1&gt;0)</definedName>
    <definedName name="period_selected">'Project Planner'!$J$2</definedName>
    <definedName name="PeriodInActual">'Project Planner'!A$7=MEDIAN('Project Planner'!A$7,'Project Planner'!$G1,'Project Planner'!$G1+'Project Planner'!$H1-1)</definedName>
    <definedName name="PeriodInPlan">'Project Planner'!A$7=MEDIAN('Project Planner'!A$7,'Project Planner'!$E1,'Project Planner'!$E1+'Project Planner'!$F1-1)</definedName>
    <definedName name="Plan">PeriodInPlan*('Project Planner'!$E1&gt;0)</definedName>
    <definedName name="_xlnm.Print_Titles" localSheetId="0">'Project Planner'!$6:$7</definedName>
    <definedName name="TitleRegion..BO60">'Project Planner'!$B$6:$B$7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6" i="1" l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</calcChain>
</file>

<file path=xl/sharedStrings.xml><?xml version="1.0" encoding="utf-8"?>
<sst xmlns="http://schemas.openxmlformats.org/spreadsheetml/2006/main" count="103" uniqueCount="91">
  <si>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</si>
  <si>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</si>
  <si>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</si>
  <si>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</si>
  <si>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</si>
  <si>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</si>
  <si>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</si>
  <si>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</si>
  <si>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</si>
  <si>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</si>
  <si>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</si>
  <si>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</si>
  <si>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</si>
  <si>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Defining Requirements</t>
  </si>
  <si>
    <t>Program Architecture &amp; Development Plan</t>
  </si>
  <si>
    <t>Draft system diagrams (dfd, class sequence, user flow, use cases, model data handling)</t>
  </si>
  <si>
    <t>Draft architecture models (frontend, backend, model, APIs, db)</t>
  </si>
  <si>
    <t>Set milestones &amp; responsibilities for model and system development</t>
  </si>
  <si>
    <t>Data Collection &amp; Preprocessing</t>
  </si>
  <si>
    <t>Assemble dataset (images, yield data, metadata)</t>
  </si>
  <si>
    <t>Clean dataset (remove noise, labeling consistency)</t>
  </si>
  <si>
    <t>Preprocess data</t>
  </si>
  <si>
    <t>Documentation</t>
  </si>
  <si>
    <t>Create Rapid Prototype (PoC)</t>
  </si>
  <si>
    <t>Build mock UI screens &amp; wireframes</t>
  </si>
  <si>
    <t>Implement barebones core functionality (key workflow, minimal code)</t>
  </si>
  <si>
    <t>Create a simple baseline model</t>
  </si>
  <si>
    <t>Test prototype internally</t>
  </si>
  <si>
    <t>Model Development</t>
  </si>
  <si>
    <t>Design CNN architecture</t>
  </si>
  <si>
    <t>Train baseline model</t>
  </si>
  <si>
    <t>Evaluate performance</t>
  </si>
  <si>
    <t>Iterate: tuning</t>
  </si>
  <si>
    <t>Compare against metrics &amp; select best-performing model</t>
  </si>
  <si>
    <t>Detailed Design &amp; Implementation</t>
  </si>
  <si>
    <t>Frontend: implement main UI components</t>
  </si>
  <si>
    <t>Backend: server logic &amp; API endpoints</t>
  </si>
  <si>
    <t>Database setup: store raw data, trained model version, results</t>
  </si>
  <si>
    <t>Unit testing</t>
  </si>
  <si>
    <t>System integration</t>
  </si>
  <si>
    <t>Create a Functional MVP</t>
  </si>
  <si>
    <t>Deploy CNN model inside the full system</t>
  </si>
  <si>
    <t>Demonstrate yield predictions</t>
  </si>
  <si>
    <t>Test MVP workflow with advisor / stakeholders</t>
  </si>
  <si>
    <t>Testing &amp; Validation</t>
  </si>
  <si>
    <t>Systematic testing</t>
  </si>
  <si>
    <t>Integration testing</t>
  </si>
  <si>
    <t>Collect user feedback (maybe)</t>
  </si>
  <si>
    <t>Polishing &amp; Final Refinement</t>
  </si>
  <si>
    <t>Model inference speed</t>
  </si>
  <si>
    <t>Improve UI/UX (error reporting, visualization of predictions)</t>
  </si>
  <si>
    <t>Document everything</t>
  </si>
  <si>
    <t>Task #</t>
  </si>
  <si>
    <t>CharAI Project Planner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</si>
  <si>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</si>
  <si>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</si>
  <si>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</si>
  <si>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</si>
  <si>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</si>
  <si>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</si>
  <si>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</si>
  <si>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</si>
  <si>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Part of May</t>
  </si>
  <si>
    <t>PREREQ TASKS</t>
  </si>
  <si>
    <t>ASSIGNED TO</t>
  </si>
  <si>
    <t>2.1-2.3, 3.1-3.4</t>
  </si>
  <si>
    <t>2.1-2.3</t>
  </si>
  <si>
    <t>3.1-3.4</t>
  </si>
  <si>
    <t>4.2, 4.3</t>
  </si>
  <si>
    <t>6.1-6.4</t>
  </si>
  <si>
    <t>5, 6</t>
  </si>
  <si>
    <t>7, 8</t>
  </si>
  <si>
    <t>Project Presentations &amp; Important Dates</t>
  </si>
  <si>
    <t>Snapshot Day #1</t>
  </si>
  <si>
    <t>EXPO</t>
  </si>
  <si>
    <t>EXPO Poster</t>
  </si>
  <si>
    <t>Snapshot Day #3</t>
  </si>
  <si>
    <t>Engineering Release</t>
  </si>
  <si>
    <t>Detailed Design Review</t>
  </si>
  <si>
    <t>Snapshot Day #2</t>
  </si>
  <si>
    <t>Concept Design Review</t>
  </si>
  <si>
    <t>Due: 10/21</t>
  </si>
  <si>
    <t>Due: 11/14</t>
  </si>
  <si>
    <t>Due: 12/9</t>
  </si>
  <si>
    <t>Due: 2/9</t>
  </si>
  <si>
    <t>Due: 2/27</t>
  </si>
  <si>
    <t>Due: 3/31</t>
  </si>
  <si>
    <t>Due: 4/22</t>
  </si>
  <si>
    <t>Due: 4/30</t>
  </si>
  <si>
    <t>All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</si>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</sst>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;@"/>
  </numFmts>
  <fonts count="18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13"/>
      <color theme="7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4"/>
      <color theme="1" tint="0.24994659260841701"/>
      <name val="Corbel"/>
      <family val="2"/>
      <scheme val="major"/>
    </font>
    <font>
      <sz val="13"/>
      <color theme="1" tint="0.24994659260841701"/>
      <name val="Calibri"/>
      <family val="2"/>
    </font>
    <font>
      <sz val="8"/>
      <name val="Corbel"/>
      <family val="2"/>
      <scheme val="major"/>
    </font>
    <font>
      <b/>
      <sz val="16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53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2" fillId="0" borderId="0" xfId="12">
      <alignment vertical="center"/>
    </xf>
    <xf numFmtId="0" fontId="0" fillId="0" borderId="0" xfId="5" applyFont="1" applyBorder="1">
      <alignment horizontal="left" vertical="center"/>
    </xf>
    <xf numFmtId="0" fontId="0" fillId="0" borderId="5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0" xfId="10">
      <alignment horizontal="center" vertical="center" wrapText="1"/>
    </xf>
    <xf numFmtId="0" fontId="7" fillId="0" borderId="5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6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0" fillId="0" borderId="6" xfId="5" applyFont="1" applyBorder="1">
      <alignment horizontal="left" vertical="center"/>
    </xf>
    <xf numFmtId="0" fontId="4" fillId="0" borderId="7" xfId="2" applyFont="1" applyBorder="1" applyAlignment="1">
      <alignment horizontal="left" vertical="center" wrapText="1"/>
    </xf>
    <xf numFmtId="0" fontId="15" fillId="0" borderId="7" xfId="2" applyFont="1" applyBorder="1" applyAlignment="1">
      <alignment horizontal="left" vertical="center" wrapText="1"/>
    </xf>
    <xf numFmtId="0" fontId="10" fillId="0" borderId="0" xfId="9" applyBorder="1">
      <alignment vertical="center"/>
    </xf>
    <xf numFmtId="0" fontId="10" fillId="0" borderId="0" xfId="10" applyBorder="1">
      <alignment horizontal="center" vertical="center" wrapText="1"/>
    </xf>
    <xf numFmtId="0" fontId="14" fillId="0" borderId="8" xfId="0" applyFont="1" applyBorder="1">
      <alignment horizontal="center" vertical="center"/>
    </xf>
    <xf numFmtId="0" fontId="4" fillId="0" borderId="7" xfId="2" applyFont="1" applyBorder="1">
      <alignment horizontal="left" wrapText="1"/>
    </xf>
    <xf numFmtId="9" fontId="6" fillId="0" borderId="9" xfId="6" applyFont="1" applyBorder="1">
      <alignment horizontal="center" vertical="center"/>
    </xf>
    <xf numFmtId="0" fontId="13" fillId="0" borderId="8" xfId="0" applyFont="1" applyBorder="1">
      <alignment horizontal="center" vertical="center"/>
    </xf>
    <xf numFmtId="0" fontId="13" fillId="0" borderId="10" xfId="0" applyFont="1" applyBorder="1">
      <alignment horizontal="center" vertical="center"/>
    </xf>
    <xf numFmtId="0" fontId="15" fillId="0" borderId="11" xfId="2" applyFont="1" applyBorder="1" applyAlignment="1">
      <alignment horizontal="left" vertical="center" wrapText="1"/>
    </xf>
    <xf numFmtId="0" fontId="4" fillId="0" borderId="11" xfId="2" applyFont="1" applyBorder="1">
      <alignment horizontal="left" wrapText="1"/>
    </xf>
    <xf numFmtId="9" fontId="6" fillId="0" borderId="12" xfId="6" applyFont="1" applyBorder="1">
      <alignment horizontal="center" vertical="center"/>
    </xf>
    <xf numFmtId="0" fontId="0" fillId="0" borderId="0" xfId="0" applyBorder="1">
      <alignment horizontal="center" vertical="center"/>
    </xf>
    <xf numFmtId="3" fontId="10" fillId="0" borderId="15" xfId="3" applyBorder="1">
      <alignment horizontal="center"/>
    </xf>
    <xf numFmtId="3" fontId="10" fillId="0" borderId="16" xfId="3" applyBorder="1">
      <alignment horizontal="center"/>
    </xf>
    <xf numFmtId="3" fontId="10" fillId="0" borderId="17" xfId="3" applyBorder="1">
      <alignment horizontal="center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49" fontId="10" fillId="0" borderId="0" xfId="9" applyNumberFormat="1">
      <alignment vertical="center"/>
    </xf>
    <xf numFmtId="49" fontId="10" fillId="0" borderId="0" xfId="9" applyNumberFormat="1" applyBorder="1">
      <alignment vertical="center"/>
    </xf>
    <xf numFmtId="0" fontId="5" fillId="0" borderId="7" xfId="0" applyFont="1" applyBorder="1">
      <alignment horizontal="center" vertical="center"/>
    </xf>
    <xf numFmtId="166" fontId="10" fillId="0" borderId="13" xfId="4" applyNumberFormat="1" applyBorder="1">
      <alignment horizontal="center" wrapText="1"/>
    </xf>
    <xf numFmtId="166" fontId="10" fillId="0" borderId="0" xfId="4" applyNumberFormat="1" applyBorder="1">
      <alignment horizontal="center" wrapText="1"/>
    </xf>
    <xf numFmtId="166" fontId="10" fillId="0" borderId="14" xfId="4" applyNumberFormat="1" applyBorder="1">
      <alignment horizontal="center" wrapText="1"/>
    </xf>
    <xf numFmtId="1" fontId="13" fillId="6" borderId="1" xfId="13" applyAlignment="1">
      <alignment horizontal="center" vertical="top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outlinePr summaryBelow="0"/>
    <pageSetUpPr fitToPage="1"/>
  </sheetPr>
  <dimension ref="A1:AS55"/>
  <sheetViews>
    <sheetView showGridLines="0" tabSelected="1" zoomScale="73" zoomScaleNormal="100" zoomScaleSheetLayoutView="80" workbookViewId="0">
      <selection activeCell="J6" sqref="J1:J1048576"/>
    </sheetView>
  </sheetViews>
  <sheetFormatPr defaultColWidth="2.75" defaultRowHeight="30" customHeight="1" outlineLevelRow="1" x14ac:dyDescent="0.3"/>
  <cols>
    <col min="1" max="1" width="6" customWidth="1"/>
    <col min="2" max="2" width="47.75" style="2" customWidth="1"/>
    <col min="3" max="4" width="15.625" style="2" customWidth="1"/>
    <col min="5" max="8" width="11.625" style="1" customWidth="1"/>
    <col min="9" max="9" width="15.625" style="3" customWidth="1"/>
    <col min="10" max="10" width="5.125" style="1" bestFit="1" customWidth="1"/>
    <col min="11" max="13" width="6.125" style="1" bestFit="1" customWidth="1"/>
    <col min="14" max="14" width="5" style="1" bestFit="1" customWidth="1"/>
    <col min="15" max="17" width="5.875" style="1" bestFit="1" customWidth="1"/>
    <col min="18" max="19" width="5.5" style="1" bestFit="1" customWidth="1"/>
    <col min="20" max="22" width="6.375" style="1" bestFit="1" customWidth="1"/>
    <col min="23" max="23" width="5.25" style="1" bestFit="1" customWidth="1"/>
    <col min="24" max="26" width="6.125" style="1" bestFit="1" customWidth="1"/>
    <col min="27" max="27" width="4.875" style="1" bestFit="1" customWidth="1"/>
    <col min="28" max="29" width="5.75" style="1" bestFit="1" customWidth="1"/>
    <col min="30" max="30" width="5.75" bestFit="1" customWidth="1"/>
    <col min="31" max="32" width="5.25" bestFit="1" customWidth="1"/>
    <col min="33" max="34" width="6.125" bestFit="1" customWidth="1"/>
    <col min="35" max="36" width="5.5" bestFit="1" customWidth="1"/>
    <col min="37" max="39" width="6.375" bestFit="1" customWidth="1"/>
    <col min="40" max="40" width="5.125" bestFit="1" customWidth="1"/>
    <col min="41" max="43" width="6" bestFit="1" customWidth="1"/>
    <col min="44" max="44" width="5.75" bestFit="1" customWidth="1"/>
    <col min="45" max="45" width="6.625" bestFit="1" customWidth="1"/>
  </cols>
  <sheetData>
    <row r="1" spans="1:45" ht="60" customHeight="1" thickBot="1" x14ac:dyDescent="0.85">
      <c r="B1" s="7" t="s">
        <v>53</v>
      </c>
      <c r="C1" s="7"/>
      <c r="D1" s="7"/>
      <c r="E1" s="6"/>
      <c r="F1" s="6"/>
      <c r="G1" s="6"/>
      <c r="H1" s="6"/>
      <c r="I1" s="6"/>
    </row>
    <row r="2" spans="1:45" ht="21" customHeight="1" thickTop="1" thickBot="1" x14ac:dyDescent="0.3">
      <c r="B2" s="13" t="s">
        <v>0</v>
      </c>
      <c r="C2" s="13"/>
      <c r="D2"/>
      <c r="E2"/>
      <c r="F2"/>
      <c r="G2" s="13"/>
      <c r="H2" s="13"/>
      <c r="I2" s="4" t="s">
        <v>1</v>
      </c>
      <c r="J2" s="52">
        <v>5</v>
      </c>
      <c r="L2" s="8"/>
      <c r="M2" s="19" t="s">
        <v>2</v>
      </c>
      <c r="N2" s="20"/>
      <c r="O2" s="20"/>
      <c r="P2" s="20"/>
      <c r="Q2" s="21"/>
      <c r="R2" s="9"/>
      <c r="S2" s="19" t="s">
        <v>3</v>
      </c>
      <c r="T2" s="22"/>
      <c r="U2" s="22"/>
      <c r="V2" s="21"/>
      <c r="W2" s="10"/>
      <c r="X2" s="15" t="s">
        <v>4</v>
      </c>
      <c r="Y2" s="16"/>
      <c r="Z2" s="16"/>
      <c r="AA2" s="23"/>
      <c r="AB2" s="11"/>
      <c r="AC2" s="15" t="s">
        <v>5</v>
      </c>
      <c r="AD2" s="16"/>
      <c r="AE2" s="16"/>
      <c r="AF2" s="16"/>
      <c r="AG2" s="16"/>
      <c r="AH2" s="16"/>
      <c r="AI2" s="23"/>
      <c r="AJ2" s="12"/>
      <c r="AK2" s="15" t="s">
        <v>6</v>
      </c>
      <c r="AL2" s="16"/>
      <c r="AM2" s="16"/>
      <c r="AN2" s="16"/>
      <c r="AO2" s="16"/>
      <c r="AP2" s="16"/>
      <c r="AQ2" s="16"/>
      <c r="AR2" s="16"/>
    </row>
    <row r="3" spans="1:45" ht="21" customHeight="1" thickTop="1" thickBot="1" x14ac:dyDescent="0.3">
      <c r="B3" s="13"/>
      <c r="C3" s="13"/>
      <c r="D3"/>
      <c r="E3"/>
      <c r="F3"/>
      <c r="G3" s="13"/>
      <c r="H3" s="1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K3" s="14"/>
      <c r="AL3" s="14"/>
      <c r="AM3" s="14"/>
      <c r="AN3" s="14"/>
      <c r="AO3" s="14"/>
      <c r="AP3" s="14"/>
      <c r="AQ3" s="14"/>
      <c r="AR3" s="14"/>
    </row>
    <row r="4" spans="1:45" ht="21" customHeight="1" thickBot="1" x14ac:dyDescent="0.3">
      <c r="B4" s="13"/>
      <c r="C4" s="13"/>
      <c r="D4"/>
      <c r="E4"/>
      <c r="F4"/>
      <c r="G4" s="13"/>
      <c r="H4" s="13"/>
      <c r="I4"/>
      <c r="J4" s="40">
        <v>2025</v>
      </c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2"/>
      <c r="AA4" s="41">
        <v>2026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2"/>
    </row>
    <row r="5" spans="1:45" ht="21" customHeight="1" x14ac:dyDescent="0.25">
      <c r="B5" s="13"/>
      <c r="C5" s="13"/>
      <c r="D5"/>
      <c r="E5"/>
      <c r="F5"/>
      <c r="G5" s="13"/>
      <c r="H5" s="13"/>
      <c r="I5" s="36"/>
      <c r="J5" s="43" t="s">
        <v>54</v>
      </c>
      <c r="K5" s="44"/>
      <c r="L5" s="44"/>
      <c r="M5" s="45"/>
      <c r="N5" s="43" t="s">
        <v>55</v>
      </c>
      <c r="O5" s="44"/>
      <c r="P5" s="44"/>
      <c r="Q5" s="45"/>
      <c r="R5" s="43" t="s">
        <v>56</v>
      </c>
      <c r="S5" s="44"/>
      <c r="T5" s="44"/>
      <c r="U5" s="44"/>
      <c r="V5" s="45"/>
      <c r="W5" s="43" t="s">
        <v>57</v>
      </c>
      <c r="X5" s="44"/>
      <c r="Y5" s="44"/>
      <c r="Z5" s="45"/>
      <c r="AA5" s="43" t="s">
        <v>58</v>
      </c>
      <c r="AB5" s="44"/>
      <c r="AC5" s="44"/>
      <c r="AD5" s="45"/>
      <c r="AE5" s="43" t="s">
        <v>59</v>
      </c>
      <c r="AF5" s="44"/>
      <c r="AG5" s="44"/>
      <c r="AH5" s="45"/>
      <c r="AI5" s="43" t="s">
        <v>60</v>
      </c>
      <c r="AJ5" s="44"/>
      <c r="AK5" s="44"/>
      <c r="AL5" s="44"/>
      <c r="AM5" s="45"/>
      <c r="AN5" s="43" t="s">
        <v>61</v>
      </c>
      <c r="AO5" s="44"/>
      <c r="AP5" s="44"/>
      <c r="AQ5" s="45"/>
      <c r="AR5" s="43" t="s">
        <v>62</v>
      </c>
      <c r="AS5" s="45"/>
    </row>
    <row r="6" spans="1:45" s="5" customFormat="1" ht="24.75" customHeight="1" x14ac:dyDescent="0.25">
      <c r="A6" s="17" t="s">
        <v>52</v>
      </c>
      <c r="B6" s="17" t="s">
        <v>7</v>
      </c>
      <c r="C6" s="46" t="s">
        <v>63</v>
      </c>
      <c r="D6" s="17" t="s">
        <v>64</v>
      </c>
      <c r="E6" s="18" t="s">
        <v>8</v>
      </c>
      <c r="F6" s="18" t="s">
        <v>9</v>
      </c>
      <c r="G6" s="18" t="s">
        <v>10</v>
      </c>
      <c r="H6" s="18" t="s">
        <v>11</v>
      </c>
      <c r="I6" s="27" t="s">
        <v>12</v>
      </c>
      <c r="J6" s="49">
        <v>45907</v>
      </c>
      <c r="K6" s="50">
        <f>J6+7</f>
        <v>45914</v>
      </c>
      <c r="L6" s="50">
        <f t="shared" ref="L6:AS6" si="0">K6+7</f>
        <v>45921</v>
      </c>
      <c r="M6" s="51">
        <f t="shared" si="0"/>
        <v>45928</v>
      </c>
      <c r="N6" s="49">
        <f t="shared" si="0"/>
        <v>45935</v>
      </c>
      <c r="O6" s="50">
        <f t="shared" si="0"/>
        <v>45942</v>
      </c>
      <c r="P6" s="50">
        <f t="shared" si="0"/>
        <v>45949</v>
      </c>
      <c r="Q6" s="51">
        <f t="shared" si="0"/>
        <v>45956</v>
      </c>
      <c r="R6" s="49">
        <f t="shared" si="0"/>
        <v>45963</v>
      </c>
      <c r="S6" s="50">
        <f t="shared" si="0"/>
        <v>45970</v>
      </c>
      <c r="T6" s="50">
        <f t="shared" si="0"/>
        <v>45977</v>
      </c>
      <c r="U6" s="50">
        <f t="shared" si="0"/>
        <v>45984</v>
      </c>
      <c r="V6" s="51">
        <f t="shared" si="0"/>
        <v>45991</v>
      </c>
      <c r="W6" s="49">
        <f t="shared" si="0"/>
        <v>45998</v>
      </c>
      <c r="X6" s="50">
        <f t="shared" si="0"/>
        <v>46005</v>
      </c>
      <c r="Y6" s="50">
        <f t="shared" si="0"/>
        <v>46012</v>
      </c>
      <c r="Z6" s="51">
        <f t="shared" si="0"/>
        <v>46019</v>
      </c>
      <c r="AA6" s="49">
        <f t="shared" si="0"/>
        <v>46026</v>
      </c>
      <c r="AB6" s="50">
        <f t="shared" si="0"/>
        <v>46033</v>
      </c>
      <c r="AC6" s="50">
        <f t="shared" si="0"/>
        <v>46040</v>
      </c>
      <c r="AD6" s="51">
        <f t="shared" si="0"/>
        <v>46047</v>
      </c>
      <c r="AE6" s="49">
        <f t="shared" si="0"/>
        <v>46054</v>
      </c>
      <c r="AF6" s="50">
        <f t="shared" si="0"/>
        <v>46061</v>
      </c>
      <c r="AG6" s="50">
        <f t="shared" si="0"/>
        <v>46068</v>
      </c>
      <c r="AH6" s="51">
        <f t="shared" si="0"/>
        <v>46075</v>
      </c>
      <c r="AI6" s="49">
        <f t="shared" si="0"/>
        <v>46082</v>
      </c>
      <c r="AJ6" s="50">
        <f t="shared" si="0"/>
        <v>46089</v>
      </c>
      <c r="AK6" s="50">
        <f t="shared" si="0"/>
        <v>46096</v>
      </c>
      <c r="AL6" s="50">
        <f t="shared" si="0"/>
        <v>46103</v>
      </c>
      <c r="AM6" s="51">
        <f t="shared" si="0"/>
        <v>46110</v>
      </c>
      <c r="AN6" s="49">
        <f t="shared" si="0"/>
        <v>46117</v>
      </c>
      <c r="AO6" s="50">
        <f t="shared" si="0"/>
        <v>46124</v>
      </c>
      <c r="AP6" s="50">
        <f t="shared" si="0"/>
        <v>46131</v>
      </c>
      <c r="AQ6" s="51">
        <f t="shared" si="0"/>
        <v>46138</v>
      </c>
      <c r="AR6" s="49">
        <f t="shared" si="0"/>
        <v>46145</v>
      </c>
      <c r="AS6" s="51">
        <f t="shared" si="0"/>
        <v>46152</v>
      </c>
    </row>
    <row r="7" spans="1:45" ht="15.75" customHeight="1" thickBot="1" x14ac:dyDescent="0.3">
      <c r="A7" s="26"/>
      <c r="B7" s="26"/>
      <c r="C7" s="47"/>
      <c r="D7" s="26"/>
      <c r="E7" s="27"/>
      <c r="F7" s="27"/>
      <c r="G7" s="27"/>
      <c r="H7" s="27"/>
      <c r="I7" s="27"/>
      <c r="J7" s="37">
        <v>1</v>
      </c>
      <c r="K7" s="38">
        <v>2</v>
      </c>
      <c r="L7" s="38">
        <v>3</v>
      </c>
      <c r="M7" s="39">
        <v>4</v>
      </c>
      <c r="N7" s="37">
        <v>5</v>
      </c>
      <c r="O7" s="38">
        <v>6</v>
      </c>
      <c r="P7" s="38">
        <v>7</v>
      </c>
      <c r="Q7" s="39">
        <v>8</v>
      </c>
      <c r="R7" s="37">
        <v>9</v>
      </c>
      <c r="S7" s="38">
        <v>10</v>
      </c>
      <c r="T7" s="38">
        <v>11</v>
      </c>
      <c r="U7" s="38">
        <v>12</v>
      </c>
      <c r="V7" s="39">
        <v>13</v>
      </c>
      <c r="W7" s="37">
        <v>14</v>
      </c>
      <c r="X7" s="38">
        <v>15</v>
      </c>
      <c r="Y7" s="38">
        <v>16</v>
      </c>
      <c r="Z7" s="39">
        <v>17</v>
      </c>
      <c r="AA7" s="37">
        <v>18</v>
      </c>
      <c r="AB7" s="38">
        <v>19</v>
      </c>
      <c r="AC7" s="38">
        <v>20</v>
      </c>
      <c r="AD7" s="39">
        <v>21</v>
      </c>
      <c r="AE7" s="37">
        <v>22</v>
      </c>
      <c r="AF7" s="38">
        <v>23</v>
      </c>
      <c r="AG7" s="38">
        <v>24</v>
      </c>
      <c r="AH7" s="39">
        <v>25</v>
      </c>
      <c r="AI7" s="37">
        <v>26</v>
      </c>
      <c r="AJ7" s="38">
        <v>27</v>
      </c>
      <c r="AK7" s="38">
        <v>28</v>
      </c>
      <c r="AL7" s="38">
        <v>29</v>
      </c>
      <c r="AM7" s="39">
        <v>30</v>
      </c>
      <c r="AN7" s="37">
        <v>31</v>
      </c>
      <c r="AO7" s="38">
        <v>32</v>
      </c>
      <c r="AP7" s="38">
        <v>33</v>
      </c>
      <c r="AQ7" s="39">
        <v>34</v>
      </c>
      <c r="AR7" s="37">
        <v>35</v>
      </c>
      <c r="AS7" s="39">
        <v>36</v>
      </c>
    </row>
    <row r="8" spans="1:45" ht="35.1" customHeight="1" collapsed="1" x14ac:dyDescent="0.25">
      <c r="A8" s="28">
        <v>0</v>
      </c>
      <c r="B8" s="24" t="s">
        <v>72</v>
      </c>
      <c r="C8" s="48" t="s">
        <v>90</v>
      </c>
      <c r="D8" s="48" t="s">
        <v>89</v>
      </c>
      <c r="E8" s="48"/>
      <c r="F8" s="48"/>
      <c r="G8" s="48"/>
      <c r="H8" s="48"/>
      <c r="I8" s="30"/>
    </row>
    <row r="9" spans="1:45" ht="35.1" hidden="1" customHeight="1" outlineLevel="1" x14ac:dyDescent="0.25">
      <c r="A9" s="31">
        <v>0.1</v>
      </c>
      <c r="B9" s="25" t="s">
        <v>73</v>
      </c>
      <c r="C9" s="48" t="s">
        <v>81</v>
      </c>
      <c r="D9" s="48" t="s">
        <v>89</v>
      </c>
      <c r="E9" s="48">
        <v>7</v>
      </c>
      <c r="F9" s="48">
        <v>1</v>
      </c>
      <c r="G9" s="48"/>
      <c r="H9" s="48"/>
      <c r="I9" s="30"/>
    </row>
    <row r="10" spans="1:45" ht="35.1" hidden="1" customHeight="1" outlineLevel="1" x14ac:dyDescent="0.25">
      <c r="A10" s="31">
        <v>0.2</v>
      </c>
      <c r="B10" s="25" t="s">
        <v>80</v>
      </c>
      <c r="C10" s="48" t="s">
        <v>82</v>
      </c>
      <c r="D10" s="48" t="s">
        <v>89</v>
      </c>
      <c r="E10" s="48">
        <v>10</v>
      </c>
      <c r="F10" s="48">
        <v>1</v>
      </c>
      <c r="G10" s="48"/>
      <c r="H10" s="48"/>
      <c r="I10" s="30"/>
    </row>
    <row r="11" spans="1:45" ht="35.1" hidden="1" customHeight="1" outlineLevel="1" x14ac:dyDescent="0.25">
      <c r="A11" s="31">
        <v>0.3</v>
      </c>
      <c r="B11" s="25" t="s">
        <v>79</v>
      </c>
      <c r="C11" s="48" t="s">
        <v>83</v>
      </c>
      <c r="D11" s="48" t="s">
        <v>89</v>
      </c>
      <c r="E11" s="48">
        <v>14</v>
      </c>
      <c r="F11" s="48">
        <v>1</v>
      </c>
      <c r="G11" s="48"/>
      <c r="H11" s="48"/>
      <c r="I11" s="30"/>
    </row>
    <row r="12" spans="1:45" ht="35.1" hidden="1" customHeight="1" outlineLevel="1" x14ac:dyDescent="0.25">
      <c r="A12" s="31">
        <v>0.4</v>
      </c>
      <c r="B12" s="25" t="s">
        <v>78</v>
      </c>
      <c r="C12" s="48" t="s">
        <v>84</v>
      </c>
      <c r="D12" s="48" t="s">
        <v>89</v>
      </c>
      <c r="E12" s="48">
        <v>23</v>
      </c>
      <c r="F12" s="48">
        <v>1</v>
      </c>
      <c r="G12" s="48"/>
      <c r="H12" s="48"/>
      <c r="I12" s="30"/>
    </row>
    <row r="13" spans="1:45" ht="35.1" hidden="1" customHeight="1" outlineLevel="1" x14ac:dyDescent="0.25">
      <c r="A13" s="31">
        <v>0.5</v>
      </c>
      <c r="B13" s="25" t="s">
        <v>77</v>
      </c>
      <c r="C13" s="48" t="s">
        <v>85</v>
      </c>
      <c r="D13" s="48" t="s">
        <v>89</v>
      </c>
      <c r="E13" s="48">
        <v>25</v>
      </c>
      <c r="F13" s="48">
        <v>1</v>
      </c>
      <c r="G13" s="48"/>
      <c r="H13" s="48"/>
      <c r="I13" s="30"/>
    </row>
    <row r="14" spans="1:45" ht="35.1" hidden="1" customHeight="1" outlineLevel="1" x14ac:dyDescent="0.25">
      <c r="A14" s="31">
        <v>0.6</v>
      </c>
      <c r="B14" s="25" t="s">
        <v>76</v>
      </c>
      <c r="C14" s="48" t="s">
        <v>86</v>
      </c>
      <c r="D14" s="48" t="s">
        <v>89</v>
      </c>
      <c r="E14" s="48">
        <v>30</v>
      </c>
      <c r="F14" s="48">
        <v>1</v>
      </c>
      <c r="G14" s="48"/>
      <c r="H14" s="48"/>
      <c r="I14" s="30"/>
    </row>
    <row r="15" spans="1:45" ht="35.1" hidden="1" customHeight="1" outlineLevel="1" x14ac:dyDescent="0.25">
      <c r="A15" s="31">
        <v>0.7</v>
      </c>
      <c r="B15" s="25" t="s">
        <v>75</v>
      </c>
      <c r="C15" s="48" t="s">
        <v>87</v>
      </c>
      <c r="D15" s="48" t="s">
        <v>89</v>
      </c>
      <c r="E15" s="48">
        <v>33</v>
      </c>
      <c r="F15" s="48">
        <v>1</v>
      </c>
      <c r="G15" s="48"/>
      <c r="H15" s="48"/>
      <c r="I15" s="30"/>
    </row>
    <row r="16" spans="1:45" ht="35.1" hidden="1" customHeight="1" outlineLevel="1" x14ac:dyDescent="0.25">
      <c r="A16" s="31">
        <v>0.8</v>
      </c>
      <c r="B16" s="25" t="s">
        <v>74</v>
      </c>
      <c r="C16" s="48" t="s">
        <v>88</v>
      </c>
      <c r="D16" s="48" t="s">
        <v>89</v>
      </c>
      <c r="E16" s="48">
        <v>34</v>
      </c>
      <c r="F16" s="48">
        <v>1</v>
      </c>
      <c r="G16" s="48"/>
      <c r="H16" s="48"/>
      <c r="I16" s="30"/>
    </row>
    <row r="17" spans="1:9" ht="35.1" customHeight="1" x14ac:dyDescent="0.3">
      <c r="A17" s="28">
        <v>1</v>
      </c>
      <c r="B17" s="24" t="s">
        <v>13</v>
      </c>
      <c r="C17" s="48" t="s">
        <v>90</v>
      </c>
      <c r="D17" s="29"/>
      <c r="E17" s="48">
        <v>1</v>
      </c>
      <c r="F17" s="48">
        <v>4</v>
      </c>
      <c r="G17" s="48">
        <v>1</v>
      </c>
      <c r="H17" s="48">
        <v>4</v>
      </c>
      <c r="I17" s="30">
        <v>1</v>
      </c>
    </row>
    <row r="18" spans="1:9" ht="35.1" customHeight="1" collapsed="1" x14ac:dyDescent="0.3">
      <c r="A18" s="28">
        <v>2</v>
      </c>
      <c r="B18" s="24" t="s">
        <v>14</v>
      </c>
      <c r="C18" s="48">
        <v>1</v>
      </c>
      <c r="D18" s="29"/>
      <c r="E18" s="48">
        <v>5</v>
      </c>
      <c r="F18" s="48">
        <v>3</v>
      </c>
      <c r="G18" s="48"/>
      <c r="H18" s="48"/>
      <c r="I18" s="30"/>
    </row>
    <row r="19" spans="1:9" ht="35.1" hidden="1" customHeight="1" outlineLevel="1" x14ac:dyDescent="0.3">
      <c r="A19" s="32">
        <v>2.1</v>
      </c>
      <c r="B19" s="33" t="s">
        <v>15</v>
      </c>
      <c r="C19" s="48">
        <v>1</v>
      </c>
      <c r="D19" s="34"/>
      <c r="E19" s="48">
        <v>5</v>
      </c>
      <c r="F19" s="48">
        <v>1</v>
      </c>
      <c r="G19" s="48"/>
      <c r="H19" s="48"/>
      <c r="I19" s="35"/>
    </row>
    <row r="20" spans="1:9" ht="35.1" hidden="1" customHeight="1" outlineLevel="1" x14ac:dyDescent="0.3">
      <c r="A20" s="31">
        <v>2.2000000000000002</v>
      </c>
      <c r="B20" s="25" t="s">
        <v>16</v>
      </c>
      <c r="C20" s="48">
        <v>1</v>
      </c>
      <c r="D20" s="29"/>
      <c r="E20" s="48">
        <v>6</v>
      </c>
      <c r="F20" s="48">
        <v>1</v>
      </c>
      <c r="G20" s="48"/>
      <c r="H20" s="48"/>
      <c r="I20" s="30"/>
    </row>
    <row r="21" spans="1:9" ht="35.1" hidden="1" customHeight="1" outlineLevel="1" x14ac:dyDescent="0.3">
      <c r="A21" s="31">
        <v>2.2999999999999998</v>
      </c>
      <c r="B21" s="25" t="s">
        <v>17</v>
      </c>
      <c r="C21" s="48">
        <v>1</v>
      </c>
      <c r="D21" s="29"/>
      <c r="E21" s="48">
        <v>7</v>
      </c>
      <c r="F21" s="48">
        <v>1</v>
      </c>
      <c r="G21" s="48"/>
      <c r="H21" s="48"/>
      <c r="I21" s="30"/>
    </row>
    <row r="22" spans="1:9" ht="35.1" customHeight="1" collapsed="1" x14ac:dyDescent="0.3">
      <c r="A22" s="28">
        <v>3</v>
      </c>
      <c r="B22" s="24" t="s">
        <v>18</v>
      </c>
      <c r="C22" s="48">
        <v>2</v>
      </c>
      <c r="D22" s="29"/>
      <c r="E22" s="48">
        <v>8</v>
      </c>
      <c r="F22" s="48">
        <v>4</v>
      </c>
      <c r="G22" s="48"/>
      <c r="H22" s="48"/>
      <c r="I22" s="30"/>
    </row>
    <row r="23" spans="1:9" ht="35.1" hidden="1" customHeight="1" outlineLevel="1" x14ac:dyDescent="0.3">
      <c r="A23" s="31">
        <v>3.1</v>
      </c>
      <c r="B23" s="25" t="s">
        <v>19</v>
      </c>
      <c r="C23" s="48">
        <v>2</v>
      </c>
      <c r="D23" s="29"/>
      <c r="E23" s="48">
        <v>8</v>
      </c>
      <c r="F23" s="48">
        <v>1</v>
      </c>
      <c r="G23" s="48"/>
      <c r="H23" s="48"/>
      <c r="I23" s="30"/>
    </row>
    <row r="24" spans="1:9" ht="35.1" hidden="1" customHeight="1" outlineLevel="1" x14ac:dyDescent="0.3">
      <c r="A24" s="31">
        <v>3.2</v>
      </c>
      <c r="B24" s="25" t="s">
        <v>20</v>
      </c>
      <c r="C24" s="48">
        <v>3.1</v>
      </c>
      <c r="D24" s="29"/>
      <c r="E24" s="48">
        <v>9</v>
      </c>
      <c r="F24" s="48">
        <v>1</v>
      </c>
      <c r="G24" s="48"/>
      <c r="H24" s="48"/>
      <c r="I24" s="30"/>
    </row>
    <row r="25" spans="1:9" ht="35.1" hidden="1" customHeight="1" outlineLevel="1" x14ac:dyDescent="0.3">
      <c r="A25" s="31">
        <v>3.3</v>
      </c>
      <c r="B25" s="25" t="s">
        <v>21</v>
      </c>
      <c r="C25" s="48">
        <v>3.2</v>
      </c>
      <c r="D25" s="29"/>
      <c r="E25" s="48">
        <v>10</v>
      </c>
      <c r="F25" s="48">
        <v>1</v>
      </c>
      <c r="G25" s="48"/>
      <c r="H25" s="48"/>
      <c r="I25" s="30"/>
    </row>
    <row r="26" spans="1:9" ht="35.1" hidden="1" customHeight="1" outlineLevel="1" x14ac:dyDescent="0.3">
      <c r="A26" s="31">
        <v>3.4</v>
      </c>
      <c r="B26" s="25" t="s">
        <v>22</v>
      </c>
      <c r="C26" s="48">
        <v>3.1</v>
      </c>
      <c r="D26" s="29"/>
      <c r="E26" s="48">
        <v>11</v>
      </c>
      <c r="F26" s="48">
        <v>1</v>
      </c>
      <c r="G26" s="48"/>
      <c r="H26" s="48"/>
      <c r="I26" s="30"/>
    </row>
    <row r="27" spans="1:9" ht="35.1" customHeight="1" collapsed="1" x14ac:dyDescent="0.3">
      <c r="A27" s="28">
        <v>4</v>
      </c>
      <c r="B27" s="24" t="s">
        <v>23</v>
      </c>
      <c r="C27" s="48" t="s">
        <v>65</v>
      </c>
      <c r="D27" s="29"/>
      <c r="E27" s="48">
        <v>12</v>
      </c>
      <c r="F27" s="48">
        <v>4</v>
      </c>
      <c r="G27" s="48"/>
      <c r="H27" s="48"/>
      <c r="I27" s="30"/>
    </row>
    <row r="28" spans="1:9" ht="35.1" hidden="1" customHeight="1" outlineLevel="1" x14ac:dyDescent="0.3">
      <c r="A28" s="31">
        <v>4.0999999999999996</v>
      </c>
      <c r="B28" s="25" t="s">
        <v>24</v>
      </c>
      <c r="C28" s="48" t="s">
        <v>66</v>
      </c>
      <c r="D28" s="29"/>
      <c r="E28" s="48">
        <v>12</v>
      </c>
      <c r="F28" s="48">
        <v>1</v>
      </c>
      <c r="G28" s="48"/>
      <c r="H28" s="48"/>
      <c r="I28" s="30"/>
    </row>
    <row r="29" spans="1:9" ht="35.1" hidden="1" customHeight="1" outlineLevel="1" x14ac:dyDescent="0.3">
      <c r="A29" s="31">
        <v>4.2</v>
      </c>
      <c r="B29" s="25" t="s">
        <v>25</v>
      </c>
      <c r="C29" s="48">
        <v>4.0999999999999996</v>
      </c>
      <c r="D29" s="29"/>
      <c r="E29" s="48">
        <v>13</v>
      </c>
      <c r="F29" s="48">
        <v>1</v>
      </c>
      <c r="G29" s="48"/>
      <c r="H29" s="48"/>
      <c r="I29" s="30"/>
    </row>
    <row r="30" spans="1:9" ht="35.1" hidden="1" customHeight="1" outlineLevel="1" x14ac:dyDescent="0.3">
      <c r="A30" s="31">
        <v>4.3</v>
      </c>
      <c r="B30" s="25" t="s">
        <v>26</v>
      </c>
      <c r="C30" s="48" t="s">
        <v>67</v>
      </c>
      <c r="D30" s="29"/>
      <c r="E30" s="48">
        <v>14</v>
      </c>
      <c r="F30" s="48">
        <v>1</v>
      </c>
      <c r="G30" s="48"/>
      <c r="H30" s="48"/>
      <c r="I30" s="30"/>
    </row>
    <row r="31" spans="1:9" ht="35.1" hidden="1" customHeight="1" outlineLevel="1" x14ac:dyDescent="0.3">
      <c r="A31" s="31">
        <v>4.4000000000000004</v>
      </c>
      <c r="B31" s="25" t="s">
        <v>27</v>
      </c>
      <c r="C31" s="48" t="s">
        <v>68</v>
      </c>
      <c r="D31" s="29"/>
      <c r="E31" s="48">
        <v>15</v>
      </c>
      <c r="F31" s="48">
        <v>1</v>
      </c>
      <c r="G31" s="48"/>
      <c r="H31" s="48"/>
      <c r="I31" s="30"/>
    </row>
    <row r="32" spans="1:9" ht="35.1" customHeight="1" collapsed="1" x14ac:dyDescent="0.3">
      <c r="A32" s="28">
        <v>5</v>
      </c>
      <c r="B32" s="24" t="s">
        <v>28</v>
      </c>
      <c r="C32" s="48" t="s">
        <v>67</v>
      </c>
      <c r="D32" s="29"/>
      <c r="E32" s="48">
        <v>12</v>
      </c>
      <c r="F32" s="48">
        <v>7</v>
      </c>
      <c r="G32" s="48"/>
      <c r="H32" s="48"/>
      <c r="I32" s="30"/>
    </row>
    <row r="33" spans="1:9" ht="35.1" hidden="1" customHeight="1" outlineLevel="1" x14ac:dyDescent="0.3">
      <c r="A33" s="31">
        <v>5.0999999999999996</v>
      </c>
      <c r="B33" s="25" t="s">
        <v>29</v>
      </c>
      <c r="C33" s="48" t="s">
        <v>67</v>
      </c>
      <c r="D33" s="29"/>
      <c r="E33" s="48">
        <v>12</v>
      </c>
      <c r="F33" s="48">
        <v>1</v>
      </c>
      <c r="G33" s="48"/>
      <c r="H33" s="48"/>
      <c r="I33" s="30"/>
    </row>
    <row r="34" spans="1:9" ht="35.1" hidden="1" customHeight="1" outlineLevel="1" x14ac:dyDescent="0.3">
      <c r="A34" s="31">
        <v>5.2</v>
      </c>
      <c r="B34" s="25" t="s">
        <v>30</v>
      </c>
      <c r="C34" s="48">
        <v>5.0999999999999996</v>
      </c>
      <c r="D34" s="29"/>
      <c r="E34" s="48">
        <v>13</v>
      </c>
      <c r="F34" s="48">
        <v>2</v>
      </c>
      <c r="G34" s="48"/>
      <c r="H34" s="48"/>
      <c r="I34" s="30"/>
    </row>
    <row r="35" spans="1:9" ht="35.1" hidden="1" customHeight="1" outlineLevel="1" x14ac:dyDescent="0.3">
      <c r="A35" s="31">
        <v>5.3</v>
      </c>
      <c r="B35" s="25" t="s">
        <v>31</v>
      </c>
      <c r="C35" s="48">
        <v>5.2</v>
      </c>
      <c r="D35" s="29"/>
      <c r="E35" s="48">
        <v>15</v>
      </c>
      <c r="F35" s="48">
        <v>1</v>
      </c>
      <c r="G35" s="48"/>
      <c r="H35" s="48"/>
      <c r="I35" s="30"/>
    </row>
    <row r="36" spans="1:9" ht="35.1" hidden="1" customHeight="1" outlineLevel="1" x14ac:dyDescent="0.3">
      <c r="A36" s="31">
        <v>5.4</v>
      </c>
      <c r="B36" s="25" t="s">
        <v>32</v>
      </c>
      <c r="C36" s="48">
        <v>5.3</v>
      </c>
      <c r="D36" s="29"/>
      <c r="E36" s="48">
        <v>16</v>
      </c>
      <c r="F36" s="48">
        <v>2</v>
      </c>
      <c r="G36" s="48"/>
      <c r="H36" s="48"/>
      <c r="I36" s="30"/>
    </row>
    <row r="37" spans="1:9" ht="35.1" hidden="1" customHeight="1" outlineLevel="1" x14ac:dyDescent="0.3">
      <c r="A37" s="31">
        <v>5.5</v>
      </c>
      <c r="B37" s="25" t="s">
        <v>33</v>
      </c>
      <c r="C37" s="48">
        <v>5.4</v>
      </c>
      <c r="D37" s="29"/>
      <c r="E37" s="48">
        <v>18</v>
      </c>
      <c r="F37" s="48">
        <v>1</v>
      </c>
      <c r="G37" s="48"/>
      <c r="H37" s="48"/>
      <c r="I37" s="30"/>
    </row>
    <row r="38" spans="1:9" ht="35.1" customHeight="1" collapsed="1" x14ac:dyDescent="0.3">
      <c r="A38" s="28">
        <v>6</v>
      </c>
      <c r="B38" s="24" t="s">
        <v>34</v>
      </c>
      <c r="C38" s="48">
        <v>4</v>
      </c>
      <c r="D38" s="29"/>
      <c r="E38" s="48">
        <v>16</v>
      </c>
      <c r="F38" s="48">
        <v>6</v>
      </c>
      <c r="G38" s="48"/>
      <c r="H38" s="48"/>
      <c r="I38" s="30"/>
    </row>
    <row r="39" spans="1:9" ht="35.1" hidden="1" customHeight="1" outlineLevel="1" x14ac:dyDescent="0.3">
      <c r="A39" s="31">
        <v>6.1</v>
      </c>
      <c r="B39" s="25" t="s">
        <v>35</v>
      </c>
      <c r="C39" s="48">
        <v>4</v>
      </c>
      <c r="D39" s="29"/>
      <c r="E39" s="48">
        <v>16</v>
      </c>
      <c r="F39" s="48">
        <v>3</v>
      </c>
      <c r="G39" s="48"/>
      <c r="H39" s="48"/>
      <c r="I39" s="30"/>
    </row>
    <row r="40" spans="1:9" ht="35.1" hidden="1" customHeight="1" outlineLevel="1" x14ac:dyDescent="0.3">
      <c r="A40" s="31">
        <v>6.2</v>
      </c>
      <c r="B40" s="25" t="s">
        <v>36</v>
      </c>
      <c r="C40" s="48">
        <v>4</v>
      </c>
      <c r="D40" s="29"/>
      <c r="E40" s="48">
        <v>16</v>
      </c>
      <c r="F40" s="48">
        <v>3</v>
      </c>
      <c r="G40" s="48"/>
      <c r="H40" s="48"/>
      <c r="I40" s="30"/>
    </row>
    <row r="41" spans="1:9" ht="35.1" hidden="1" customHeight="1" outlineLevel="1" x14ac:dyDescent="0.3">
      <c r="A41" s="31">
        <v>6.3</v>
      </c>
      <c r="B41" s="25" t="s">
        <v>37</v>
      </c>
      <c r="C41" s="48">
        <v>6.2</v>
      </c>
      <c r="D41" s="29"/>
      <c r="E41" s="48">
        <v>19</v>
      </c>
      <c r="F41" s="48">
        <v>1</v>
      </c>
      <c r="G41" s="48"/>
      <c r="H41" s="48"/>
      <c r="I41" s="30"/>
    </row>
    <row r="42" spans="1:9" ht="35.1" hidden="1" customHeight="1" outlineLevel="1" x14ac:dyDescent="0.3">
      <c r="A42" s="31">
        <v>6.4</v>
      </c>
      <c r="B42" s="25" t="s">
        <v>38</v>
      </c>
      <c r="C42" s="48">
        <v>4</v>
      </c>
      <c r="D42" s="29"/>
      <c r="E42" s="48">
        <v>16</v>
      </c>
      <c r="F42" s="48">
        <v>3</v>
      </c>
      <c r="G42" s="48"/>
      <c r="H42" s="48"/>
      <c r="I42" s="30"/>
    </row>
    <row r="43" spans="1:9" ht="35.1" hidden="1" customHeight="1" outlineLevel="1" x14ac:dyDescent="0.3">
      <c r="A43" s="31">
        <v>6.5</v>
      </c>
      <c r="B43" s="25" t="s">
        <v>39</v>
      </c>
      <c r="C43" s="48" t="s">
        <v>69</v>
      </c>
      <c r="D43" s="29"/>
      <c r="E43" s="48">
        <v>20</v>
      </c>
      <c r="F43" s="48">
        <v>2</v>
      </c>
      <c r="G43" s="48"/>
      <c r="H43" s="48"/>
      <c r="I43" s="30"/>
    </row>
    <row r="44" spans="1:9" ht="35.1" customHeight="1" collapsed="1" x14ac:dyDescent="0.3">
      <c r="A44" s="28">
        <v>7</v>
      </c>
      <c r="B44" s="24" t="s">
        <v>40</v>
      </c>
      <c r="C44" s="48" t="s">
        <v>70</v>
      </c>
      <c r="D44" s="29"/>
      <c r="E44" s="48">
        <v>22</v>
      </c>
      <c r="F44" s="48">
        <v>3</v>
      </c>
      <c r="G44" s="48"/>
      <c r="H44" s="48"/>
      <c r="I44" s="30"/>
    </row>
    <row r="45" spans="1:9" ht="35.1" hidden="1" customHeight="1" outlineLevel="1" x14ac:dyDescent="0.3">
      <c r="A45" s="31">
        <v>7.1</v>
      </c>
      <c r="B45" s="25" t="s">
        <v>41</v>
      </c>
      <c r="C45" s="48" t="s">
        <v>70</v>
      </c>
      <c r="D45" s="29"/>
      <c r="E45" s="48">
        <v>22</v>
      </c>
      <c r="F45" s="48">
        <v>1</v>
      </c>
      <c r="G45" s="48"/>
      <c r="H45" s="48"/>
      <c r="I45" s="30"/>
    </row>
    <row r="46" spans="1:9" ht="35.1" hidden="1" customHeight="1" outlineLevel="1" x14ac:dyDescent="0.3">
      <c r="A46" s="31">
        <v>7.2</v>
      </c>
      <c r="B46" s="25" t="s">
        <v>42</v>
      </c>
      <c r="C46" s="48">
        <v>7.1</v>
      </c>
      <c r="D46" s="29"/>
      <c r="E46" s="48">
        <v>23</v>
      </c>
      <c r="F46" s="48">
        <v>1</v>
      </c>
      <c r="G46" s="48"/>
      <c r="H46" s="48"/>
      <c r="I46" s="30"/>
    </row>
    <row r="47" spans="1:9" ht="35.1" hidden="1" customHeight="1" outlineLevel="1" x14ac:dyDescent="0.3">
      <c r="A47" s="31">
        <v>7.3</v>
      </c>
      <c r="B47" s="25" t="s">
        <v>43</v>
      </c>
      <c r="C47" s="48">
        <v>7.2</v>
      </c>
      <c r="D47" s="29"/>
      <c r="E47" s="48">
        <v>24</v>
      </c>
      <c r="F47" s="48">
        <v>1</v>
      </c>
      <c r="G47" s="48"/>
      <c r="H47" s="48"/>
      <c r="I47" s="30"/>
    </row>
    <row r="48" spans="1:9" ht="35.1" customHeight="1" collapsed="1" x14ac:dyDescent="0.3">
      <c r="A48" s="28">
        <v>8</v>
      </c>
      <c r="B48" s="24" t="s">
        <v>44</v>
      </c>
      <c r="C48" s="48">
        <v>7</v>
      </c>
      <c r="D48" s="29"/>
      <c r="E48" s="48">
        <v>25</v>
      </c>
      <c r="F48" s="48">
        <v>2</v>
      </c>
      <c r="G48" s="48"/>
      <c r="H48" s="48"/>
      <c r="I48" s="30"/>
    </row>
    <row r="49" spans="1:9" ht="35.1" hidden="1" customHeight="1" outlineLevel="1" x14ac:dyDescent="0.3">
      <c r="A49" s="31">
        <v>8.1</v>
      </c>
      <c r="B49" s="25" t="s">
        <v>45</v>
      </c>
      <c r="C49" s="48">
        <v>7</v>
      </c>
      <c r="D49" s="29"/>
      <c r="E49" s="48">
        <v>25</v>
      </c>
      <c r="F49" s="48">
        <v>1</v>
      </c>
      <c r="G49" s="48"/>
      <c r="H49" s="48"/>
      <c r="I49" s="30"/>
    </row>
    <row r="50" spans="1:9" ht="35.1" hidden="1" customHeight="1" outlineLevel="1" x14ac:dyDescent="0.3">
      <c r="A50" s="31">
        <v>8.1999999999999993</v>
      </c>
      <c r="B50" s="25" t="s">
        <v>46</v>
      </c>
      <c r="C50" s="48">
        <v>7</v>
      </c>
      <c r="D50" s="29"/>
      <c r="E50" s="48">
        <v>26</v>
      </c>
      <c r="F50" s="48">
        <v>1</v>
      </c>
      <c r="G50" s="48"/>
      <c r="H50" s="48"/>
      <c r="I50" s="30"/>
    </row>
    <row r="51" spans="1:9" ht="35.1" hidden="1" customHeight="1" outlineLevel="1" x14ac:dyDescent="0.3">
      <c r="A51" s="31">
        <v>8.3000000000000007</v>
      </c>
      <c r="B51" s="25" t="s">
        <v>47</v>
      </c>
      <c r="C51" s="48">
        <v>7</v>
      </c>
      <c r="D51" s="29"/>
      <c r="E51" s="48">
        <v>25</v>
      </c>
      <c r="F51" s="48">
        <v>2</v>
      </c>
      <c r="G51" s="48"/>
      <c r="H51" s="48"/>
      <c r="I51" s="30"/>
    </row>
    <row r="52" spans="1:9" ht="35.1" customHeight="1" collapsed="1" x14ac:dyDescent="0.3">
      <c r="A52" s="28">
        <v>9</v>
      </c>
      <c r="B52" s="24" t="s">
        <v>48</v>
      </c>
      <c r="C52" s="48" t="s">
        <v>71</v>
      </c>
      <c r="D52" s="29"/>
      <c r="E52" s="48">
        <v>27</v>
      </c>
      <c r="F52" s="48">
        <v>2</v>
      </c>
      <c r="G52" s="48"/>
      <c r="H52" s="48"/>
      <c r="I52" s="30"/>
    </row>
    <row r="53" spans="1:9" ht="35.1" hidden="1" customHeight="1" outlineLevel="1" x14ac:dyDescent="0.3">
      <c r="A53" s="31">
        <v>9.1</v>
      </c>
      <c r="B53" s="25" t="s">
        <v>49</v>
      </c>
      <c r="C53" s="48">
        <v>8</v>
      </c>
      <c r="D53" s="29"/>
      <c r="E53" s="48">
        <v>27</v>
      </c>
      <c r="F53" s="48">
        <v>1</v>
      </c>
      <c r="G53" s="48"/>
      <c r="H53" s="48"/>
      <c r="I53" s="30"/>
    </row>
    <row r="54" spans="1:9" ht="35.1" hidden="1" customHeight="1" outlineLevel="1" x14ac:dyDescent="0.3">
      <c r="A54" s="31">
        <v>9.1999999999999993</v>
      </c>
      <c r="B54" s="25" t="s">
        <v>50</v>
      </c>
      <c r="C54" s="48">
        <v>8</v>
      </c>
      <c r="D54" s="29"/>
      <c r="E54" s="48">
        <v>28</v>
      </c>
      <c r="F54" s="48">
        <v>1</v>
      </c>
      <c r="G54" s="48"/>
      <c r="H54" s="48"/>
      <c r="I54" s="30"/>
    </row>
    <row r="55" spans="1:9" ht="35.1" hidden="1" customHeight="1" outlineLevel="1" x14ac:dyDescent="0.3">
      <c r="A55" s="31">
        <v>9.3000000000000007</v>
      </c>
      <c r="B55" s="25" t="s">
        <v>51</v>
      </c>
      <c r="C55" s="48">
        <v>7</v>
      </c>
      <c r="D55" s="29"/>
      <c r="E55" s="48">
        <v>27</v>
      </c>
      <c r="F55" s="48">
        <v>2</v>
      </c>
      <c r="G55" s="48"/>
      <c r="H55" s="48"/>
      <c r="I55" s="30"/>
    </row>
  </sheetData>
  <mergeCells count="25">
    <mergeCell ref="J4:Z4"/>
    <mergeCell ref="AA4:AS4"/>
    <mergeCell ref="C6:C7"/>
    <mergeCell ref="D6:D7"/>
    <mergeCell ref="A6:A7"/>
    <mergeCell ref="J5:M5"/>
    <mergeCell ref="N5:Q5"/>
    <mergeCell ref="R5:V5"/>
    <mergeCell ref="W5:Z5"/>
    <mergeCell ref="AK2:AR2"/>
    <mergeCell ref="B6:B7"/>
    <mergeCell ref="E6:E7"/>
    <mergeCell ref="F6:F7"/>
    <mergeCell ref="G6:G7"/>
    <mergeCell ref="H6:H7"/>
    <mergeCell ref="I6:I7"/>
    <mergeCell ref="M2:Q2"/>
    <mergeCell ref="S2:V2"/>
    <mergeCell ref="X2:AA2"/>
    <mergeCell ref="AC2:AI2"/>
    <mergeCell ref="AA5:AD5"/>
    <mergeCell ref="AE5:AH5"/>
    <mergeCell ref="AI5:AM5"/>
    <mergeCell ref="AN5:AQ5"/>
    <mergeCell ref="AR5:AS5"/>
  </mergeCells>
  <phoneticPr fontId="16" type="noConversion"/>
  <conditionalFormatting sqref="B56:AS56">
    <cfRule type="expression" dxfId="9" priority="2">
      <formula>TRUE</formula>
    </cfRule>
  </conditionalFormatting>
  <conditionalFormatting sqref="J7:AS7">
    <cfRule type="expression" dxfId="8" priority="8">
      <formula>J$7=period_selected</formula>
    </cfRule>
  </conditionalFormatting>
  <conditionalFormatting sqref="J8:AS55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Actual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J$7=period_selected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J3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L2:L3" xr:uid="{00000000-0002-0000-0000-000002000000}"/>
    <dataValidation allowBlank="1" showInputMessage="1" showErrorMessage="1" prompt="This legend cell indicates actual duration" sqref="R2:R3" xr:uid="{00000000-0002-0000-0000-000003000000}"/>
    <dataValidation allowBlank="1" showInputMessage="1" showErrorMessage="1" prompt="This legend cell indicates the percentage of project completed" sqref="W2:W3" xr:uid="{00000000-0002-0000-0000-000004000000}"/>
    <dataValidation allowBlank="1" showInputMessage="1" showErrorMessage="1" prompt="This legend cell indicates actual duration beyond plan" sqref="AB2:AB3" xr:uid="{00000000-0002-0000-0000-000005000000}"/>
    <dataValidation allowBlank="1" showInputMessage="1" showErrorMessage="1" prompt="This legend cell indicates the percentage of project completed beyond plan" sqref="AJ2:AJ3" xr:uid="{00000000-0002-0000-0000-000006000000}"/>
    <dataValidation allowBlank="1" showInputMessage="1" showErrorMessage="1" prompt="Enter activity in column B, starting with cell B5_x000a_" sqref="B6:B7" xr:uid="{00000000-0002-0000-0000-000008000000}"/>
    <dataValidation allowBlank="1" showInputMessage="1" showErrorMessage="1" prompt="Enter plan start period in column C, starting with cell C5" sqref="E6:E7" xr:uid="{00000000-0002-0000-0000-000009000000}"/>
    <dataValidation allowBlank="1" showInputMessage="1" showErrorMessage="1" prompt="Enter plan duration period in column D, starting with cell D5" sqref="F6:F7" xr:uid="{00000000-0002-0000-0000-00000A000000}"/>
    <dataValidation allowBlank="1" showInputMessage="1" showErrorMessage="1" prompt="Enter actual start period in column E, starting with cell E5" sqref="G6:G7" xr:uid="{00000000-0002-0000-0000-00000B000000}"/>
    <dataValidation allowBlank="1" showInputMessage="1" showErrorMessage="1" prompt="Enter actual duration period in column F, starting with cell F5" sqref="H6:H7" xr:uid="{00000000-0002-0000-0000-00000C000000}"/>
    <dataValidation allowBlank="1" showInputMessage="1" showErrorMessage="1" prompt="Enter the percentage of project completed in column G, starting with cell G5" sqref="I6:I7" xr:uid="{00000000-0002-0000-0000-00000D000000}"/>
    <dataValidation allowBlank="1" showInputMessage="1" showErrorMessage="1" prompt="Title of the project. Enter a new title in this cell. Highlight a period in H2. Chart legend is in J2 to AI2" sqref="B1:D1" xr:uid="{00000000-0002-0000-0000-00000E000000}"/>
    <dataValidation allowBlank="1" showInputMessage="1" showErrorMessage="1" prompt="Select a period to highlight in H2. A Chart legend is in J2 to AI2" sqref="B2:C5 G2:H5" xr:uid="{00000000-0002-0000-0000-00000F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36 or select a period from the list. Press ALT+DOWN ARROW to navigate the list, then ENTER to select a value" sqref="J2" xr:uid="{2EBE715A-6BD1-4F8B-85C9-F1F78680606F}">
      <formula1>"1,2,3,4,5,6,7,8,9,10,11,12,13,14,15,16,17,18,19,20,21,22,23,24,25,26,27,28,29,30,31,32,33,34,35,36"</formula1>
    </dataValidation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2025-10-05T22:20:43Z</dcterms:created>
  <dcterms:modified xsi:type="dcterms:W3CDTF">2025-10-05T23:08:25Z</dcterms:modified>
  <cp:category/>
  <cp:contentStatus/>
</cp:coreProperties>
</file>